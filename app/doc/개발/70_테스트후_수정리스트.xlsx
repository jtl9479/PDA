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리스트" sheetId="1" state="visible" r:id="rId1"/>
    <sheet xmlns:r="http://schemas.openxmlformats.org/officeDocument/2006/relationships" name="수정이력" sheetId="2" state="visible" r:id="rId2"/>
    <sheet xmlns:r="http://schemas.openxmlformats.org/officeDocument/2006/relationships" name="진행현황" sheetId="3" state="visible" r:id="rId3"/>
  </sheets>
  <definedNames>
    <definedName name="_xlnm._FilterDatabase" localSheetId="0" hidden="1">'수정리스트'!$A$4:$K$18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-dd h:mm:ss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E2EFDA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9" customWidth="1" min="5" max="5"/>
    <col width="36" customWidth="1" min="6" max="6"/>
    <col width="44" customWidth="1" min="7" max="7"/>
    <col width="44" customWidth="1" min="8" max="8"/>
    <col width="30" customWidth="1" min="9" max="9"/>
    <col width="26" customWidth="1" min="10" max="10"/>
    <col width="12" customWidth="1" min="11" max="11"/>
  </cols>
  <sheetData>
    <row r="1">
      <c r="A1" s="1" t="inlineStr">
        <is>
          <t>PDA 테스트 후 수정 리스트</t>
        </is>
      </c>
    </row>
    <row r="2">
      <c r="A2" s="2" t="inlineStr">
        <is>
          <t>작성일 2026-10-02 · 상태는 드롭다운(대기/진행중/완료/보류)으로 변경 · 수정 방법은 '수정내용' 열과 '수정이력' 시트에 기록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항목</t>
        </is>
      </c>
      <c r="D4" s="3" t="inlineStr">
        <is>
          <t>대상</t>
        </is>
      </c>
      <c r="E4" s="3" t="inlineStr">
        <is>
          <t>상태</t>
        </is>
      </c>
      <c r="F4" s="3" t="inlineStr">
        <is>
          <t>선행조건 / 결정 필요 사항</t>
        </is>
      </c>
      <c r="G4" s="3" t="inlineStr">
        <is>
          <t>현황 (2026-10-02 1차 확인)</t>
        </is>
      </c>
      <c r="H4" s="3" t="inlineStr">
        <is>
          <t>수정내용 (어떻게 수정했는지)</t>
        </is>
      </c>
      <c r="I4" s="3" t="inlineStr">
        <is>
          <t>수정 파일</t>
        </is>
      </c>
      <c r="J4" s="3" t="inlineStr">
        <is>
          <t>관련 문서</t>
        </is>
      </c>
      <c r="K4" s="3" t="inlineStr">
        <is>
          <t>완료일</t>
        </is>
      </c>
    </row>
    <row r="5" ht="48" customHeight="1">
      <c r="A5" s="4" t="inlineStr">
        <is>
          <t>A1</t>
        </is>
      </c>
      <c r="B5" s="4" t="inlineStr">
        <is>
          <t>오류</t>
        </is>
      </c>
      <c r="C5" s="5" t="inlineStr">
        <is>
          <t>합산 라벨 출력 시 소수점 2자리 숫자가 붙어 보임</t>
        </is>
      </c>
      <c r="D5" s="4" t="inlineStr">
        <is>
          <t>PDA</t>
        </is>
      </c>
      <c r="E5" s="4" t="inlineStr">
        <is>
          <t>완료</t>
        </is>
      </c>
      <c r="F5" s="5" t="inlineStr"/>
      <c r="G5" s="5" t="inlineStr">
        <is>
          <t>원인: Korail 40 크기 5글자 폭 100도트 = 열 간격 100 → 숫자 붙음. 1차 수정(35) 후 6열(x=500)에서 5글자가 591도트로 라벨 폭 576 초과 → 끝자리 잘림 추가 확인</t>
        </is>
      </c>
      <c r="H5" s="5" t="inlineStr">
        <is>
          <t>개별 중량 글자 크기 40 → 32, 열 간격 100 → 95 (p_weight = 95 * (i % 6)). 5글자 82도트, 칸 여백 13, 6열 끝 557 (라벨 576 이내). 6열×6행·36건 단위·총 중량 줄은 원본 유지. 실기기 출력 전송 완료, 출력물 육안 확인 대기</t>
        </is>
      </c>
      <c r="I5" s="5" t="inlineStr">
        <is>
          <t>BixolonShipmentActivity.java (detail_btn_sum)</t>
        </is>
      </c>
      <c r="J5" s="5" t="inlineStr">
        <is>
          <t>오류/38, 개발/71</t>
        </is>
      </c>
      <c r="K5" s="6" t="n">
        <v>46301</v>
      </c>
    </row>
    <row r="6" ht="48" customHeight="1">
      <c r="A6" s="4" t="inlineStr">
        <is>
          <t>A2</t>
        </is>
      </c>
      <c r="B6" s="4" t="inlineStr">
        <is>
          <t>오류</t>
        </is>
      </c>
      <c r="C6" s="5" t="inlineStr">
        <is>
          <t>롯데 라벨 회사코드 미노출</t>
        </is>
      </c>
      <c r="D6" s="4" t="inlineStr">
        <is>
          <t>JSP / 데이터</t>
        </is>
      </c>
      <c r="E6" s="4" t="inlineStr">
        <is>
          <t>대기</t>
        </is>
      </c>
      <c r="F6" s="5" t="inlineStr">
        <is>
          <t>ERP 데이터 입력 (롯데 업체코드값 업무 담당 확인)</t>
        </is>
      </c>
      <c r="G6" s="5" t="inlineStr">
        <is>
          <t>[2026-10-06 운영DB 확인] 롯데 출고 7건 모두 M1(점포 거래처) 매핑 없음, M2(상위 A00565) 매핑 1건(SEQ 42, 품목 1110100681, 타입구분 W, 바코드타입 L0)의 물류코드 빈 값 → EMARTLOGIS_CODE 빈 값 → 라벨 회사코드·바코드 앞자리 누락. 원본은 B_COMMON_CODE LOTTE_STORE_CODE(센터코드 기준) REF_CODE2, 없으면 '회사코드없음'</t>
        </is>
      </c>
      <c r="H6" s="5" t="inlineStr">
        <is>
          <t>코드 수정 없음. 조치안: ERP CO_매출처품목코드매핑 A00565/1110100681(SEQ 42) 물류코드에 롯데 업체코드 입력. (선택) JSP 빈 값 시 원본처럼 '회사코드없음' 기본값</t>
        </is>
      </c>
      <c r="I6" s="5" t="inlineStr">
        <is>
          <t>-</t>
        </is>
      </c>
      <c r="J6" s="5" t="inlineStr">
        <is>
          <t>오류/39</t>
        </is>
      </c>
      <c r="K6" s="6" t="inlineStr"/>
    </row>
    <row r="7" ht="48" customHeight="1">
      <c r="A7" s="4" t="inlineStr">
        <is>
          <t>A3</t>
        </is>
      </c>
      <c r="B7" s="4" t="inlineStr">
        <is>
          <t>오류</t>
        </is>
      </c>
      <c r="C7" s="5" t="inlineStr">
        <is>
          <t>롯데 라벨 일자 8자리 노출 → 6자리로</t>
        </is>
      </c>
      <c r="D7" s="4" t="inlineStr">
        <is>
          <t>PDA / 데이터</t>
        </is>
      </c>
      <c r="E7" s="4" t="inlineStr">
        <is>
          <t>완료</t>
        </is>
      </c>
      <c r="F7" s="5" t="inlineStr">
        <is>
          <t>ERP 데이터 수정 (CO_품목코드 제조일자시작 6 → 8)</t>
        </is>
      </c>
      <c r="G7" s="5" t="inlineStr">
        <is>
          <t>[2026-10-06 운영DB 확인] CO_품목코드 1110100681 제조일자시작 6, 끝 13. 계근 바코드(예: 00603 20260928 1110100681)의 6~13 = YYYYMMDD 8자리 절사 → SM_출고계근.제조일자 스캔 10건 20260928 저장. 라벨은 6자리(YYMMDD) 가정 → 제조일자 '2020년 26월 09일' 오출력, 롯데 바코드 2자리 증가. 수기 입력 건은 6자리 정상. 앱 절사 로직은 원본 동일. 품목은 마트사 간 비공유 → 롯데만 영향</t>
        </is>
      </c>
      <c r="H7" s="5" t="inlineStr">
        <is>
          <t>코드 수정 없음. DB(weberp_hl) CO_품목코드 1110100681 제조일자시작 6 → 8 UPDATE(사용자 실행). EDA51 롯데 09-29 재계근: 절사 제조일 260929(6자리), 라벨 2026년 09월 29일, 바코드 26092906338809790013 정상 — 출력물 육안 확인 완료</t>
        </is>
      </c>
      <c r="I7" s="5" t="inlineStr">
        <is>
          <t>-(DB 데이터)</t>
        </is>
      </c>
      <c r="J7" s="5" t="inlineStr">
        <is>
          <t>오류/40</t>
        </is>
      </c>
      <c r="K7" s="6" t="n">
        <v>46301</v>
      </c>
    </row>
    <row r="8" ht="48" customHeight="1">
      <c r="A8" s="4" t="inlineStr">
        <is>
          <t>B1</t>
        </is>
      </c>
      <c r="B8" s="4" t="inlineStr">
        <is>
          <t>조사</t>
        </is>
      </c>
      <c r="C8" s="5" t="inlineStr">
        <is>
          <t>비정량 전송 후 F/Y 상태 불일치</t>
        </is>
      </c>
      <c r="D8" s="4" t="inlineStr">
        <is>
          <t>PDA+JSP+ERP</t>
        </is>
      </c>
      <c r="E8" s="4" t="inlineStr">
        <is>
          <t>완료</t>
        </is>
      </c>
      <c r="F8" s="5" t="inlineStr">
        <is>
          <t>원본 동일 결함 — 수정 여부 결정 (안1 일괄전송 조기 return 제거 / 안2 SEND_Y 집계 수정)</t>
        </is>
      </c>
      <c r="G8" s="5" t="inlineStr">
        <is>
          <t>[2026-10-07 원인 확정] SM_출고계근 출고상세 508(이마트 비정량) 순번 2·3이 18초 뒤 재INSERT(SEQ 258·259). 원인: count(SAVE_TYPE='Y') 전체행 집계로 SAVE_CNT 부풀림 + 일괄전송 후 Y 처리 루프 조기 return → F 잔류(B1) → 재전송 중복(B2). B1·B2 동일 원인, 원본 동일</t>
        </is>
      </c>
      <c r="H8" s="5" t="inlineStr">
        <is>
          <t>안1 적용: 일괄전송 Y 처리 루프의 조기 return 제거, 루프 종료 후 jChk&gt;0 &amp;&amp; jChk==arSM.size() 이면 'ss' 판정. count(SAVE_TYPE='Y') 집계(안2)는 원본 동일로 유지. [2026-10-12 EDA51] 서버 계근 삭제 후 이마트 비정량 508: 미전송 2건+신규 1건 일괄전송 → 서버 3건(계근순번 3·6·7 중복 없음), 로컬 3건 전부 Y. 홈플러스 비정량 499: 미전송 3건 일괄전송 → 서버 3건, 로컬 전부 Y, 재전송 시 'af'(이미 전송) 중복 0건. 도매 일괄 5건도 동일 경로 정상</t>
        </is>
      </c>
      <c r="I8" s="5" t="inlineStr">
        <is>
          <t>BixolonShipmentActivity.java (ProgressDlgShipmentSend 일괄전송)</t>
        </is>
      </c>
      <c r="J8" s="5" t="inlineStr">
        <is>
          <t>오류/41, 개발/74</t>
        </is>
      </c>
      <c r="K8" s="6" t="n">
        <v>46307</v>
      </c>
    </row>
    <row r="9" ht="48" customHeight="1">
      <c r="A9" s="4" t="inlineStr">
        <is>
          <t>B2</t>
        </is>
      </c>
      <c r="B9" s="4" t="inlineStr">
        <is>
          <t>조사</t>
        </is>
      </c>
      <c r="C9" s="5" t="inlineStr">
        <is>
          <t>비정량 계근 순번 중복</t>
        </is>
      </c>
      <c r="D9" s="4" t="inlineStr">
        <is>
          <t>PDA+JSP+ERP</t>
        </is>
      </c>
      <c r="E9" s="4" t="inlineStr">
        <is>
          <t>완료</t>
        </is>
      </c>
      <c r="F9" s="5" t="inlineStr">
        <is>
          <t>원본 동일 결함 — 수정 여부 결정 (안1 일괄전송 조기 return 제거 / 안2 SEND_Y 집계 수정)</t>
        </is>
      </c>
      <c r="G9" s="5" t="inlineStr">
        <is>
          <t>[2026-10-07 원인 확정] SM_출고계근 출고상세 508(이마트 비정량) 순번 2·3이 18초 뒤 재INSERT(SEQ 258·259). 원인: count(SAVE_TYPE='Y') 전체행 집계로 SAVE_CNT 부풀림 + 일괄전송 후 Y 처리 루프 조기 return → F 잔류(B1) → 재전송 중복(B2). B1·B2 동일 원인, 원본 동일</t>
        </is>
      </c>
      <c r="H9" s="5" t="inlineStr">
        <is>
          <t>안1 적용: 일괄전송 Y 처리 루프의 조기 return 제거, 루프 종료 후 jChk&gt;0 &amp;&amp; jChk==arSM.size() 이면 'ss' 판정. count(SAVE_TYPE='Y') 집계(안2)는 원본 동일로 유지. [2026-10-12 EDA51] 서버 계근 삭제 후 이마트 비정량 508: 미전송 2건+신규 1건 일괄전송 → 서버 3건(계근순번 3·6·7 중복 없음), 로컬 3건 전부 Y. 홈플러스 비정량 499: 미전송 3건 일괄전송 → 서버 3건, 로컬 전부 Y, 재전송 시 'af'(이미 전송) 중복 0건. 도매 일괄 5건도 동일 경로 정상</t>
        </is>
      </c>
      <c r="I9" s="5" t="inlineStr">
        <is>
          <t>BixolonShipmentActivity.java (ProgressDlgShipmentSend 일괄전송)</t>
        </is>
      </c>
      <c r="J9" s="5" t="inlineStr">
        <is>
          <t>오류/41, 개발/74</t>
        </is>
      </c>
      <c r="K9" s="6" t="n">
        <v>46307</v>
      </c>
    </row>
    <row r="10" ht="48" customHeight="1">
      <c r="A10" s="4" t="inlineStr">
        <is>
          <t>C1</t>
        </is>
      </c>
      <c r="B10" s="4" t="inlineStr">
        <is>
          <t>신규기능</t>
        </is>
      </c>
      <c r="C10" s="5" t="inlineStr">
        <is>
          <t>PDA 상단에 현재 선택한 작업 날짜 고정 표시</t>
        </is>
      </c>
      <c r="D10" s="4" t="inlineStr">
        <is>
          <t>PDA</t>
        </is>
      </c>
      <c r="E10" s="4" t="inlineStr">
        <is>
          <t>완료</t>
        </is>
      </c>
      <c r="F10" s="5" t="inlineStr">
        <is>
          <t>사용자 결정: 메인 화면만, yyyy-MM-dd 형식 (원본에 없는 기능, 승인 예외)</t>
        </is>
      </c>
      <c r="G10" s="5" t="inlineStr">
        <is>
          <t>원본에 없는 기능</t>
        </is>
      </c>
      <c r="H10" s="5" t="inlineStr">
        <is>
          <t>MainActivity 액션바 subtitle에 '작업일자 : yyyy-MM-dd' 표시. showWorkDate() 추가, onResume·날짜 선택·TEST_MODE·출하대상받기 4곳 호출. Common.selectDay·조회 로직 변경 없음. EDA51 실기기 시나리오 1~4 PASS, 통합 테스트 5항목 PASS(변경 전후 이마트 09-28 조회 5/2/6건 동일)</t>
        </is>
      </c>
      <c r="I10" s="5" t="inlineStr">
        <is>
          <t>MainActivity.java</t>
        </is>
      </c>
      <c r="J10" s="5" t="inlineStr">
        <is>
          <t>개발/72</t>
        </is>
      </c>
      <c r="K10" s="6" t="n">
        <v>46301</v>
      </c>
    </row>
    <row r="11" ht="48" customHeight="1">
      <c r="A11" s="4" t="inlineStr">
        <is>
          <t>C2</t>
        </is>
      </c>
      <c r="B11" s="4" t="inlineStr">
        <is>
          <t>신규기능</t>
        </is>
      </c>
      <c r="C11" s="5" t="inlineStr">
        <is>
          <t>파렛트별 계근 내역과 총중량을 구분한 합산 라벨 출력</t>
        </is>
      </c>
      <c r="D11" s="4" t="inlineStr">
        <is>
          <t>PDA</t>
        </is>
      </c>
      <c r="E11" s="4" t="inlineStr">
        <is>
          <t>진행중</t>
        </is>
      </c>
      <c r="F11" s="5" t="inlineStr">
        <is>
          <t>36건(6열×6행) 고정 단위라 파렛트별 총 중량 구분 불가. 파렛트 구분 방법: 파렛트당 박스 수 지정(사용자 결정)</t>
        </is>
      </c>
      <c r="G11" s="5" t="inlineStr">
        <is>
          <t>합산 버튼 → 파렛트당 박스 수 입력 창(기본 36, 0·공백 안내). 박스 수 단위로 'N번 총 중량' 출력, 파렛트가 36건 초과 시 36건마다 총 중량 없는 라벨 이어서 출력. 36 입력 시 수정 전과 바이트 동일(5189). 실기기 출력 전송 완료, 출력물 육안 확인 대기</t>
        </is>
      </c>
      <c r="H11" s="5" t="inlineStr">
        <is>
          <t>BixolonShipmentActivity.java (detail_btn_sum, printSumLabel)</t>
        </is>
      </c>
      <c r="I11" s="5" t="inlineStr">
        <is>
          <t>개발/79</t>
        </is>
      </c>
      <c r="J11" s="5" t="inlineStr">
        <is>
          <t>개발/79, 오류/44, 개발/86</t>
        </is>
      </c>
      <c r="K11" s="6" t="inlineStr"/>
    </row>
    <row r="12" ht="48" customHeight="1">
      <c r="A12" s="4" t="inlineStr">
        <is>
          <t>C3</t>
        </is>
      </c>
      <c r="B12" s="4" t="inlineStr">
        <is>
          <t>정리</t>
        </is>
      </c>
      <c r="C12" s="5" t="inlineStr">
        <is>
          <t>바코드 타입 M0·M8·M9·H2·H5·L0만 사용, 이외 미사용</t>
        </is>
      </c>
      <c r="D12" s="4" t="inlineStr">
        <is>
          <t>PDA</t>
        </is>
      </c>
      <c r="E12" s="4" t="inlineStr">
        <is>
          <t>완료</t>
        </is>
      </c>
      <c r="F12" s="5" t="inlineStr">
        <is>
          <t>사용자 결정 2026-10-06: M0·M8·M9·H2·H5·L0 외 타입 분기 제거</t>
        </is>
      </c>
      <c r="G12" s="5" t="inlineStr">
        <is>
          <t>[2026-10-06] ERP 매핑 등록 타입: M0·M9·H2·H5·L0(W/B), E2·C1(J, PDA 미유입). 앱 잔존 분기 M1·M3·M4·E0~E3·P0 (LabelPrintHelper 단일 파일). H2·H5는 홈플러스 라벨이 타입 분기 없음</t>
        </is>
      </c>
      <c r="H12" s="5" t="inlineStr">
        <is>
          <t>LabelPrintHelper 미사용 타입 case·if 분기·상수·Javadoc 제거(참조 0건, 구버전 ShipmentActivity 제외). 코드검증·원본비교 PASS. EDA51 변경 전후 재출력 바이트 일치(M0 13908, M9 11762). 통합테스트: M0·M9·L0·H2·H5 실출력 전송 확인. M8·미트센터9231·킬코이 데이터 없음 미수행. 출력물 육안 정상 확인</t>
        </is>
      </c>
      <c r="I12" s="5" t="inlineStr">
        <is>
          <t>LabelPrintHelper.java</t>
        </is>
      </c>
      <c r="J12" s="5" t="inlineStr">
        <is>
          <t>개발/73</t>
        </is>
      </c>
      <c r="K12" s="6" t="n">
        <v>46301</v>
      </c>
    </row>
    <row r="13" ht="48" customHeight="1">
      <c r="A13" s="4" t="inlineStr">
        <is>
          <t>D1</t>
        </is>
      </c>
      <c r="B13" s="4" t="inlineStr">
        <is>
          <t>ERP</t>
        </is>
      </c>
      <c r="C13" s="5" t="inlineStr">
        <is>
          <t>PDA출고계근현황 — 체크 선택 기능</t>
        </is>
      </c>
      <c r="D13" s="4" t="inlineStr">
        <is>
          <t>ERP</t>
        </is>
      </c>
      <c r="E13" s="4" t="inlineStr">
        <is>
          <t>대기</t>
        </is>
      </c>
      <c r="F13" s="5" t="inlineStr">
        <is>
          <t>ERP 수정 담당 결정</t>
        </is>
      </c>
      <c r="G13" s="5" t="inlineStr">
        <is>
          <t>미조사</t>
        </is>
      </c>
      <c r="H13" s="5" t="inlineStr"/>
      <c r="I13" s="5" t="inlineStr"/>
      <c r="J13" s="5" t="inlineStr"/>
      <c r="K13" s="6" t="inlineStr"/>
    </row>
    <row r="14" ht="48" customHeight="1">
      <c r="A14" s="4" t="inlineStr">
        <is>
          <t>D2</t>
        </is>
      </c>
      <c r="B14" s="4" t="inlineStr">
        <is>
          <t>ERP</t>
        </is>
      </c>
      <c r="C14" s="5" t="inlineStr">
        <is>
          <t>PDA출고계근현황 — 거래처명과 함께 점포명 표기</t>
        </is>
      </c>
      <c r="D14" s="4" t="inlineStr">
        <is>
          <t>ERP</t>
        </is>
      </c>
      <c r="E14" s="4" t="inlineStr">
        <is>
          <t>대기</t>
        </is>
      </c>
      <c r="F14" s="5" t="inlineStr">
        <is>
          <t>ERP 수정 담당 결정</t>
        </is>
      </c>
      <c r="G14" s="5" t="inlineStr">
        <is>
          <t>미조사</t>
        </is>
      </c>
      <c r="H14" s="5" t="inlineStr"/>
      <c r="I14" s="5" t="inlineStr"/>
      <c r="J14" s="5" t="inlineStr"/>
      <c r="K14" s="6" t="inlineStr"/>
    </row>
    <row r="15" ht="48" customHeight="1">
      <c r="A15" s="4" t="inlineStr">
        <is>
          <t>D3</t>
        </is>
      </c>
      <c r="B15" s="4" t="inlineStr">
        <is>
          <t>ERP</t>
        </is>
      </c>
      <c r="C15" s="5" t="inlineStr">
        <is>
          <t>PDA출고계근현황 — 라벨타입 정보 표기</t>
        </is>
      </c>
      <c r="D15" s="4" t="inlineStr">
        <is>
          <t>ERP</t>
        </is>
      </c>
      <c r="E15" s="4" t="inlineStr">
        <is>
          <t>대기</t>
        </is>
      </c>
      <c r="F15" s="5" t="inlineStr">
        <is>
          <t>ERP 수정 담당 결정</t>
        </is>
      </c>
      <c r="G15" s="5" t="inlineStr">
        <is>
          <t>미조사</t>
        </is>
      </c>
      <c r="H15" s="5" t="inlineStr"/>
      <c r="I15" s="5" t="inlineStr"/>
      <c r="J15" s="5" t="inlineStr"/>
      <c r="K15" s="6" t="inlineStr"/>
    </row>
    <row r="16" ht="48" customHeight="1">
      <c r="A16" s="4" t="inlineStr">
        <is>
          <t>D4</t>
        </is>
      </c>
      <c r="B16" s="4" t="inlineStr">
        <is>
          <t>ERP</t>
        </is>
      </c>
      <c r="C16" s="5" t="inlineStr">
        <is>
          <t>PDA출고계근현황 — 재출력 버튼, 특정 라벨 재출력 (최초 출력 바코드 유형 유지)</t>
        </is>
      </c>
      <c r="D16" s="4" t="inlineStr">
        <is>
          <t>ERP (+PDA)</t>
        </is>
      </c>
      <c r="E16" s="4" t="inlineStr">
        <is>
          <t>대기</t>
        </is>
      </c>
      <c r="F16" s="5" t="inlineStr">
        <is>
          <t>ERP 수정 담당 결정</t>
        </is>
      </c>
      <c r="G16" s="5" t="inlineStr">
        <is>
          <t>미조사</t>
        </is>
      </c>
      <c r="H16" s="5" t="inlineStr"/>
      <c r="I16" s="5" t="inlineStr"/>
      <c r="J16" s="5" t="inlineStr"/>
      <c r="K16" s="6" t="inlineStr"/>
    </row>
    <row r="17" ht="48" customHeight="1">
      <c r="A17" s="4" t="inlineStr">
        <is>
          <t>E1</t>
        </is>
      </c>
      <c r="B17" s="4" t="inlineStr">
        <is>
          <t>보류</t>
        </is>
      </c>
      <c r="C17" s="5" t="inlineStr">
        <is>
          <t>하이랜드 PDA 최신 소스 확인 및 비교</t>
        </is>
      </c>
      <c r="D17" s="4" t="inlineStr">
        <is>
          <t>PDA</t>
        </is>
      </c>
      <c r="E17" s="4" t="inlineStr">
        <is>
          <t>진행중</t>
        </is>
      </c>
      <c r="F17" s="5" t="inlineStr">
        <is>
          <t>최신 소스 수령 후 진행</t>
        </is>
      </c>
      <c r="G17" s="5" t="inlineStr">
        <is>
          <t>[2026-10-22] 최신 소스 수령: D:\PDA\PDA-INNO_20261021\PDA-INNO\PDA-INNO (2026-10-21 스냅샷, git). 구 원본 대비 다른 파일 4개(ShipmentActivity·LoginActivity·Common·ProgressDlgShipSearch)+strings.xml. 현재 소스 대비 누락·불일치 5건: ① 롯데 라벨 출력 이력 적재(앱·JSP·테이블 없음) ② 합산 파렛트 출력 문구·입력 창 ③ 이마트 비정량 스캔 매칭(앞 6자리) ④ M9 대구센터만 점포명·점포코드 출력 ⑤ TRD 소비기한 체크 조건(contains TRD). 영향 없음: EMART_PLANT_CODE 길이 체크·M1 else if·로그·로고</t>
        </is>
      </c>
      <c r="H17" s="5" t="inlineStr">
        <is>
          <t>② 합산 파렛트 출력부터 처리 — 오류/44 문서화, 개발/86 작성 (코드 수정 대기)</t>
        </is>
      </c>
      <c r="I17" s="5" t="inlineStr"/>
      <c r="J17" s="5" t="inlineStr">
        <is>
          <t>오류/44, 개발/86</t>
        </is>
      </c>
      <c r="K17" s="6" t="inlineStr"/>
    </row>
    <row r="18" ht="48" customHeight="1">
      <c r="A18" s="4" t="inlineStr">
        <is>
          <t>E2</t>
        </is>
      </c>
      <c r="B18" s="4" t="inlineStr">
        <is>
          <t>보류</t>
        </is>
      </c>
      <c r="C18" s="5" t="inlineStr">
        <is>
          <t>현행 라벨 규격 기준 유형·코드 매핑 재확인</t>
        </is>
      </c>
      <c r="D18" s="4" t="inlineStr">
        <is>
          <t>PDA</t>
        </is>
      </c>
      <c r="E18" s="4" t="inlineStr">
        <is>
          <t>보류</t>
        </is>
      </c>
      <c r="F18" s="5" t="inlineStr">
        <is>
          <t>최신 소스 수령 후 진행</t>
        </is>
      </c>
      <c r="G18" s="5" t="inlineStr">
        <is>
          <t>최신 소스 미수령</t>
        </is>
      </c>
      <c r="H18" s="5" t="inlineStr"/>
      <c r="I18" s="5" t="inlineStr"/>
      <c r="J18" s="5" t="inlineStr"/>
      <c r="K18" s="6" t="inlineStr"/>
    </row>
  </sheetData>
  <autoFilter ref="A4:K18"/>
  <conditionalFormatting sqref="A5:K60">
    <cfRule type="expression" priority="1" dxfId="0">
      <formula>$E5="완료"</formula>
    </cfRule>
    <cfRule type="expression" priority="2" dxfId="1">
      <formula>$E5="진행중"</formula>
    </cfRule>
    <cfRule type="expression" priority="3" dxfId="2">
      <formula>$E5="보류"</formula>
    </cfRule>
  </conditionalFormatting>
  <dataValidations count="1">
    <dataValidation sqref="E5:E60" showDropDown="0" showInputMessage="0" showErrorMessage="0" allowBlank="1" type="list">
      <formula1>"대기,진행중,완료,보류"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0" customWidth="1" min="4" max="4"/>
    <col width="36" customWidth="1" min="5" max="5"/>
    <col width="14" customWidth="1" min="6" max="6"/>
    <col width="30" customWidth="1" min="7" max="7"/>
    <col width="24" customWidth="1" min="8" max="8"/>
  </cols>
  <sheetData>
    <row r="1">
      <c r="A1" s="1" t="inlineStr">
        <is>
          <t>수정 이력 (수정할 때마다 1행 추가)</t>
        </is>
      </c>
    </row>
    <row r="3">
      <c r="A3" s="3" t="inlineStr">
        <is>
          <t>No</t>
        </is>
      </c>
      <c r="B3" s="3" t="inlineStr">
        <is>
          <t>일자</t>
        </is>
      </c>
      <c r="C3" s="3" t="inlineStr">
        <is>
          <t>ID</t>
        </is>
      </c>
      <c r="D3" s="3" t="inlineStr">
        <is>
          <t>수정 내용 (어떻게 수정했는지)</t>
        </is>
      </c>
      <c r="E3" s="3" t="inlineStr">
        <is>
          <t>수정 파일</t>
        </is>
      </c>
      <c r="F3" s="3" t="inlineStr">
        <is>
          <t>커밋</t>
        </is>
      </c>
      <c r="G3" s="3" t="inlineStr">
        <is>
          <t>관련 문서</t>
        </is>
      </c>
      <c r="H3" s="3" t="inlineStr">
        <is>
          <t>비고</t>
        </is>
      </c>
    </row>
    <row r="4">
      <c r="A4" s="4" t="n">
        <v>1</v>
      </c>
      <c r="B4" s="6" t="n">
        <v>46298</v>
      </c>
      <c r="C4" s="4" t="inlineStr">
        <is>
          <t>A1</t>
        </is>
      </c>
      <c r="D4" s="5" t="inlineStr">
        <is>
          <t>합산 라벨 개별 중량 bitmapText 크기 40 → 35. 원인: Korail 40 크기 5글자 폭이 열 간격 100도트와 같아 숫자 붙음</t>
        </is>
      </c>
      <c r="E4" s="5" t="inlineStr">
        <is>
          <t>BixolonShipmentActivity.java</t>
        </is>
      </c>
      <c r="F4" s="4" t="inlineStr"/>
      <c r="G4" s="5" t="inlineStr">
        <is>
          <t>오류/38, 개발/71</t>
        </is>
      </c>
      <c r="H4" s="5" t="inlineStr">
        <is>
          <t>출력 확인 대기</t>
        </is>
      </c>
    </row>
    <row r="5">
      <c r="A5" s="4" t="n">
        <v>2</v>
      </c>
      <c r="B5" s="6" t="n">
        <v>46298</v>
      </c>
      <c r="C5" s="4" t="inlineStr">
        <is>
          <t>A1</t>
        </is>
      </c>
      <c r="D5" s="5" t="inlineStr">
        <is>
          <t>EDA51 실기기 테스트: 로컬DB에 소수 2자리 계근 7건(12.34·15.67·9.99·21.05·13.48·17.72·11.11) 임시 추가 → 계근 내역 합산 출력 → 프린터 전송 완료. 테스트 후 로컬DB 원복</t>
        </is>
      </c>
      <c r="E5" s="5" t="inlineStr">
        <is>
          <t>-</t>
        </is>
      </c>
      <c r="F5" s="4" t="inlineStr"/>
      <c r="G5" s="5" t="inlineStr">
        <is>
          <t>개발/71</t>
        </is>
      </c>
      <c r="H5" s="5" t="inlineStr">
        <is>
          <t>출력물 육안 확인 대기</t>
        </is>
      </c>
    </row>
    <row r="6">
      <c r="A6" s="4" t="n">
        <v>3</v>
      </c>
      <c r="B6" s="6" t="n">
        <v>46298</v>
      </c>
      <c r="C6" s="4" t="inlineStr">
        <is>
          <t>A1</t>
        </is>
      </c>
      <c r="D6" s="5" t="inlineStr">
        <is>
          <t>1차 출력 확인 결과 6열(x=500) 12.34 끝자리 잘림. 원인: 35 크기 5글자 91도트 → 591도트로 라벨 폭 576 초과</t>
        </is>
      </c>
      <c r="E6" s="5" t="inlineStr">
        <is>
          <t>-</t>
        </is>
      </c>
      <c r="F6" s="4" t="inlineStr"/>
      <c r="G6" s="5" t="inlineStr">
        <is>
          <t>오류/38</t>
        </is>
      </c>
      <c r="H6" s="5" t="inlineStr">
        <is>
          <t>사용자 육안 확인</t>
        </is>
      </c>
    </row>
    <row r="7">
      <c r="A7" s="4" t="n">
        <v>4</v>
      </c>
      <c r="B7" s="6" t="n">
        <v>46298</v>
      </c>
      <c r="C7" s="4" t="inlineStr">
        <is>
          <t>A1</t>
        </is>
      </c>
      <c r="D7" s="5" t="inlineStr">
        <is>
          <t>2차 수정(2안): 글자 크기 35 → 32, 열 간격 100 → 95. 실기기 동일 데이터로 합산 출력 재전송(8,826 bytes), 로컬DB 원복</t>
        </is>
      </c>
      <c r="E7" s="5" t="inlineStr">
        <is>
          <t>BixolonShipmentActivity.java</t>
        </is>
      </c>
      <c r="F7" s="4" t="inlineStr"/>
      <c r="G7" s="5" t="inlineStr">
        <is>
          <t>개발/71</t>
        </is>
      </c>
      <c r="H7" s="5" t="inlineStr">
        <is>
          <t>출력물 육안 확인 대기</t>
        </is>
      </c>
    </row>
    <row r="8">
      <c r="A8" s="4" t="n">
        <v>5</v>
      </c>
      <c r="B8" s="6" t="n">
        <v>46301</v>
      </c>
      <c r="C8" s="4" t="inlineStr">
        <is>
          <t>A1</t>
        </is>
      </c>
      <c r="D8" s="5" t="inlineStr">
        <is>
          <t>2차 수정(32/95) 확정, 완료 처리. 100kg 이상 소수 2자리(123.45, 6글자 100도트)는 열 간격 95 초과 — 발생 시 별도 오류 등록</t>
        </is>
      </c>
      <c r="E8" s="5" t="inlineStr">
        <is>
          <t>BixolonShipmentActivity.java</t>
        </is>
      </c>
      <c r="F8" s="4" t="n"/>
      <c r="G8" s="5" t="inlineStr">
        <is>
          <t>오류/38, 개발/71</t>
        </is>
      </c>
      <c r="H8" s="5" t="inlineStr">
        <is>
          <t>커밋</t>
        </is>
      </c>
    </row>
    <row r="9">
      <c r="A9" s="4" t="n">
        <v>6</v>
      </c>
      <c r="B9" s="6" t="n">
        <v>46301</v>
      </c>
      <c r="C9" s="4" t="inlineStr">
        <is>
          <t>A2</t>
        </is>
      </c>
      <c r="D9" s="5" t="inlineStr">
        <is>
          <t>운영DB 조회로 원인 확정: A00565 매핑 물류코드 빈 값. 조치안 ERP 물류코드 입력</t>
        </is>
      </c>
      <c r="E9" s="5" t="inlineStr">
        <is>
          <t>-</t>
        </is>
      </c>
      <c r="F9" s="4" t="n"/>
      <c r="G9" s="5" t="inlineStr">
        <is>
          <t>-</t>
        </is>
      </c>
      <c r="H9" s="5" t="inlineStr">
        <is>
          <t>원인 확정, ERP 조치 대기</t>
        </is>
      </c>
    </row>
    <row r="10">
      <c r="A10" s="4" t="n">
        <v>7</v>
      </c>
      <c r="B10" s="6" t="n">
        <v>46301</v>
      </c>
      <c r="C10" s="4" t="inlineStr">
        <is>
          <t>A3</t>
        </is>
      </c>
      <c r="D10" s="5" t="inlineStr">
        <is>
          <t>운영DB 조회로 원인 확정: 1110100681 제조일자시작 6(8자리 절사). 조치안 6 → 8</t>
        </is>
      </c>
      <c r="E10" s="5" t="inlineStr">
        <is>
          <t>-</t>
        </is>
      </c>
      <c r="F10" s="4" t="n"/>
      <c r="G10" s="5" t="inlineStr">
        <is>
          <t>-</t>
        </is>
      </c>
      <c r="H10" s="5" t="inlineStr">
        <is>
          <t>원인 확정, ERP 조치 대기</t>
        </is>
      </c>
    </row>
    <row r="11">
      <c r="A11" s="4" t="n">
        <v>8</v>
      </c>
      <c r="B11" s="6" t="n">
        <v>46301</v>
      </c>
      <c r="C11" s="4" t="inlineStr">
        <is>
          <t>C1</t>
        </is>
      </c>
      <c r="D11" s="5" t="inlineStr">
        <is>
          <t>메인 화면 작업일자 표시 추가 및 EDA51 실기기 확인(미선택 오늘·즉시 반영·재진입 유지·출하대상받기 조회조건 불변 PASS)</t>
        </is>
      </c>
      <c r="E11" s="5" t="inlineStr">
        <is>
          <t>MainActivity.java</t>
        </is>
      </c>
      <c r="F11" s="4" t="n"/>
      <c r="G11" s="5" t="inlineStr">
        <is>
          <t>개발/72</t>
        </is>
      </c>
      <c r="H11" s="5" t="inlineStr">
        <is>
          <t>통합 테스트 대기</t>
        </is>
      </c>
    </row>
    <row r="12">
      <c r="A12" s="4" t="n">
        <v>9</v>
      </c>
      <c r="B12" s="6" t="n">
        <v>46301</v>
      </c>
      <c r="C12" s="4" t="inlineStr">
        <is>
          <t>C3</t>
        </is>
      </c>
      <c r="D12" s="5" t="inlineStr">
        <is>
          <t>미사용 바코드 타입(M1·M3·M4·E0~E3·P0) 분기 제거, 변경 전후 M0·M9 라벨 전송 바이트 일치 확인</t>
        </is>
      </c>
      <c r="E12" s="5" t="inlineStr">
        <is>
          <t>LabelPrintHelper.java</t>
        </is>
      </c>
      <c r="F12" s="4" t="inlineStr">
        <is>
          <t>62053c0</t>
        </is>
      </c>
      <c r="G12" s="5" t="inlineStr">
        <is>
          <t>개발/73</t>
        </is>
      </c>
      <c r="H12" s="5" t="inlineStr">
        <is>
          <t>육안 확인·통합 테스트 대기</t>
        </is>
      </c>
    </row>
    <row r="13">
      <c r="A13" s="4" t="n">
        <v>10</v>
      </c>
      <c r="B13" s="6" t="n">
        <v>46301</v>
      </c>
      <c r="C13" s="4" t="inlineStr">
        <is>
          <t>C3</t>
        </is>
      </c>
      <c r="D13" s="5" t="inlineStr">
        <is>
          <t>개발 73 Step 5 통합 테스트: L0(롯데 09-29)·H2(홈플러스 09-30)·H5(홈플러스 비정량 09-28) 신규 계근 출력 확인. M8·미트센터·킬코이는 운영 데이터 없음</t>
        </is>
      </c>
      <c r="E13" s="5" t="inlineStr">
        <is>
          <t>-</t>
        </is>
      </c>
      <c r="F13" s="4" t="n"/>
      <c r="G13" s="5" t="inlineStr">
        <is>
          <t>개발/73</t>
        </is>
      </c>
      <c r="H13" s="5" t="inlineStr">
        <is>
          <t>육안 확인 대기</t>
        </is>
      </c>
    </row>
    <row r="14">
      <c r="A14" s="4" t="n">
        <v>11</v>
      </c>
      <c r="B14" s="6" t="n">
        <v>46301</v>
      </c>
      <c r="C14" s="4" t="inlineStr">
        <is>
          <t>C3</t>
        </is>
      </c>
      <c r="D14" s="5" t="inlineStr">
        <is>
          <t>출력 라벨 육안 정상 확인(사용자) → 완료 처리</t>
        </is>
      </c>
      <c r="E14" s="5" t="inlineStr">
        <is>
          <t>-</t>
        </is>
      </c>
      <c r="F14" s="4" t="n"/>
      <c r="G14" s="5" t="inlineStr">
        <is>
          <t>개발/73</t>
        </is>
      </c>
      <c r="H14" s="5" t="inlineStr">
        <is>
          <t>완료</t>
        </is>
      </c>
    </row>
    <row r="15">
      <c r="A15" s="4" t="n">
        <v>12</v>
      </c>
      <c r="B15" s="6" t="n">
        <v>46301</v>
      </c>
      <c r="C15" s="4" t="inlineStr">
        <is>
          <t>C1</t>
        </is>
      </c>
      <c r="D15" s="5" t="inlineStr">
        <is>
          <t>개발 72 Step 3 통합 테스트 5항목 PASS, 변경 전 빌드와 출하대상 조회 결과 동일 확인 → 완료</t>
        </is>
      </c>
      <c r="E15" s="5" t="inlineStr">
        <is>
          <t>-</t>
        </is>
      </c>
      <c r="F15" s="4" t="n"/>
      <c r="G15" s="5" t="inlineStr">
        <is>
          <t>개발/72</t>
        </is>
      </c>
      <c r="H15" s="5" t="inlineStr">
        <is>
          <t>완료</t>
        </is>
      </c>
    </row>
    <row r="16">
      <c r="A16" s="4" t="n">
        <v>13</v>
      </c>
      <c r="B16" s="6" t="n">
        <v>46301</v>
      </c>
      <c r="C16" s="4" t="inlineStr">
        <is>
          <t>A3</t>
        </is>
      </c>
      <c r="D16" s="5" t="inlineStr">
        <is>
          <t>CO_품목코드 1110100681 제조일자시작 6→8 UPDATE 후 롯데 라벨 제조일 6자리 정상 출력 확인 → 완료</t>
        </is>
      </c>
      <c r="E16" s="5" t="inlineStr">
        <is>
          <t>-</t>
        </is>
      </c>
      <c r="F16" s="4" t="n"/>
      <c r="G16" s="5" t="inlineStr">
        <is>
          <t>오류/40</t>
        </is>
      </c>
      <c r="H16" s="5" t="inlineStr">
        <is>
          <t>완료</t>
        </is>
      </c>
    </row>
    <row r="17">
      <c r="A17" s="4" t="n">
        <v>14</v>
      </c>
      <c r="B17" s="6" t="n">
        <v>46302</v>
      </c>
      <c r="C17" s="4" t="inlineStr">
        <is>
          <t>B1/B2</t>
        </is>
      </c>
      <c r="D17" s="5" t="inlineStr">
        <is>
          <t>운영DB·코드 조사로 원인 확정(일괄전송 조기 종료 + SEND_Y 집계 오류), 오류 41 문서화. 원본 동일 결함</t>
        </is>
      </c>
      <c r="E17" s="5" t="inlineStr">
        <is>
          <t>-</t>
        </is>
      </c>
      <c r="F17" s="4" t="n"/>
      <c r="G17" s="5" t="inlineStr">
        <is>
          <t>오류/41</t>
        </is>
      </c>
      <c r="H17" s="5" t="inlineStr">
        <is>
          <t>수정 여부 결정 대기</t>
        </is>
      </c>
    </row>
    <row r="18">
      <c r="A18" s="4" t="n">
        <v>15</v>
      </c>
      <c r="B18" s="6" t="n">
        <v>46307</v>
      </c>
      <c r="C18" s="4" t="inlineStr">
        <is>
          <t>B1</t>
        </is>
      </c>
      <c r="D18" s="5" t="inlineStr">
        <is>
          <t>일괄전송 Y 처리 루프 조기 return 제거(안1) → 루프 종료 후 'ss' 판정. EDA51 이마트 비정량 508·홈플러스 비정량 499 일괄전송 실기기 확인</t>
        </is>
      </c>
      <c r="E18" s="5" t="inlineStr">
        <is>
          <t>BixolonShipmentActivity.java</t>
        </is>
      </c>
      <c r="F18" s="4" t="inlineStr">
        <is>
          <t>732b65a</t>
        </is>
      </c>
      <c r="G18" s="5" t="inlineStr">
        <is>
          <t>오류/41, 개발/74</t>
        </is>
      </c>
      <c r="H18" s="5" t="inlineStr">
        <is>
          <t>일괄전송 후 로컬 F 잔류 해소</t>
        </is>
      </c>
    </row>
    <row r="19">
      <c r="A19" s="4" t="n">
        <v>16</v>
      </c>
      <c r="B19" s="6" t="n">
        <v>46307</v>
      </c>
      <c r="C19" s="4" t="inlineStr">
        <is>
          <t>B2</t>
        </is>
      </c>
      <c r="D19" s="5" t="inlineStr">
        <is>
          <t>일괄전송 Y 처리 루프 조기 return 제거(안1) → 루프 종료 후 'ss' 판정. EDA51 이마트 비정량 508·홈플러스 비정량 499 일괄전송 실기기 확인</t>
        </is>
      </c>
      <c r="E19" s="5" t="inlineStr">
        <is>
          <t>BixolonShipmentActivity.java</t>
        </is>
      </c>
      <c r="F19" s="4" t="inlineStr">
        <is>
          <t>732b65a</t>
        </is>
      </c>
      <c r="G19" s="5" t="inlineStr">
        <is>
          <t>오류/41, 개발/74</t>
        </is>
      </c>
      <c r="H19" s="5" t="inlineStr">
        <is>
          <t>재전송 중복 0건 확인</t>
        </is>
      </c>
    </row>
    <row r="20">
      <c r="A20" s="4" t="n">
        <v>17</v>
      </c>
      <c r="B20" s="6" t="n">
        <v>46307</v>
      </c>
      <c r="C20" s="4" t="inlineStr">
        <is>
          <t>C2</t>
        </is>
      </c>
      <c r="D20" s="5" t="inlineStr">
        <is>
          <t>합산 라벨 파렛트당 박스 수 지정. EDA51: 36=수정 전 5189 bytes 동일, 2→2장, 40(43건)→3장, 0·취소 인쇄 없음. 임시 계근 40건은 테스트 후 원복</t>
        </is>
      </c>
      <c r="E20" s="5" t="inlineStr">
        <is>
          <t>BixolonShipmentActivity.java</t>
        </is>
      </c>
      <c r="F20" s="4" t="inlineStr">
        <is>
          <t>개발 79 Step 1~2</t>
        </is>
      </c>
      <c r="G20" s="5" t="inlineStr">
        <is>
          <t>개발/79</t>
        </is>
      </c>
      <c r="H20" s="5" t="inlineStr">
        <is>
          <t>출력물 육안 확인 대기</t>
        </is>
      </c>
    </row>
    <row r="21">
      <c r="A21" s="4" t="n">
        <v>18</v>
      </c>
      <c r="B21" s="6" t="n">
        <v>46307</v>
      </c>
      <c r="C21" s="4" t="inlineStr">
        <is>
          <t>C2</t>
        </is>
      </c>
      <c r="D21" s="5" t="inlineStr">
        <is>
          <t>합산 라벨 총 중량 5자리 이상 잘림 수정: 폭 측정 후 넘칠 때만 x 왼쪽 이동(최소 10)·글자 크기 축소(최소 40). EDA51: 52.9 x=100 그대로(5189 bytes 동일), 9961.2 x=60, 12062.9 x=26. 임시 계근은 원복</t>
        </is>
      </c>
      <c r="E21" s="5" t="inlineStr">
        <is>
          <t>BixolonShipmentActivity.java, LabelPrintHelper.java</t>
        </is>
      </c>
      <c r="F21" s="4" t="inlineStr">
        <is>
          <t>개발 79 Step 3</t>
        </is>
      </c>
      <c r="G21" s="5" t="inlineStr">
        <is>
          <t>개발/79</t>
        </is>
      </c>
      <c r="H21" s="5" t="inlineStr">
        <is>
          <t>출력물 육안 확인 대기</t>
        </is>
      </c>
    </row>
    <row r="22">
      <c r="A22" s="4" t="n">
        <v>19</v>
      </c>
      <c r="B22" s="6" t="n">
        <v>46307</v>
      </c>
      <c r="C22" s="4" t="inlineStr">
        <is>
          <t>D4</t>
        </is>
      </c>
      <c r="D22" s="5" t="inlineStr">
        <is>
          <t>SM_출고계근 라벨 출력 정보 11컬럼 INSERT: 앱 최초 출력값 기록→TB_GOODS_WET→패킷[15]~[25], JSP 4종 INSERT. EDA51: 이마트 SEQ 285~289, 롯데 290~295, 도매(일괄) 296~300 적재 확인, 라벨 바이트 동일</t>
        </is>
      </c>
      <c r="E22" s="5" t="inlineStr">
        <is>
          <t>LabelPrintHelper·라벨클래스·DBHandler·BixolonShipmentActivity 외, insert_goods_wet*.jsp 4종</t>
        </is>
      </c>
      <c r="F22" s="4" t="inlineStr">
        <is>
          <t>개발 80 Step 1~3</t>
        </is>
      </c>
      <c r="G22" s="5" t="inlineStr">
        <is>
          <t>개발/80</t>
        </is>
      </c>
      <c r="H22" s="5" t="inlineStr">
        <is>
          <t>출력값 있는 일괄 전송 미수행</t>
        </is>
      </c>
    </row>
    <row r="23">
      <c r="A23" s="4" t="n">
        <v>20</v>
      </c>
      <c r="B23" s="6" t="n">
        <v>46317</v>
      </c>
      <c r="C23" s="4" t="inlineStr">
        <is>
          <t>E1</t>
        </is>
      </c>
      <c r="D23" s="5" t="inlineStr">
        <is>
          <t>최신 소스(PDA-INNO_20261021) 비교: 누락·불일치 5건 확인. 합산 파렛트 출력 최신 원본 불일치 오류 44 문서화, 개발 86(입력 창·라벨 최신 원본 동일화, 총 중량 넘칠 때만 크기 축소 — 사용자 결정) 작성</t>
        </is>
      </c>
      <c r="E23" s="5" t="inlineStr">
        <is>
          <t>-</t>
        </is>
      </c>
      <c r="F23" s="4" t="n"/>
      <c r="G23" s="5" t="inlineStr">
        <is>
          <t>오류/44, 개발/86</t>
        </is>
      </c>
      <c r="H23" s="5" t="inlineStr">
        <is>
          <t>코드 수정 대기</t>
        </is>
      </c>
    </row>
    <row r="24">
      <c r="A24" s="4" t="n">
        <v>21</v>
      </c>
      <c r="B24" s="6" t="n">
        <v>46317</v>
      </c>
      <c r="C24" s="4" t="inlineStr">
        <is>
          <t>C2</t>
        </is>
      </c>
      <c r="D24" s="5" t="inlineStr">
        <is>
          <t>최신 원본 동일화(개발 86 Step 1): 박스 수 입력 창을 palletCountDialog()로 분리, 제목 "파렛트당 박스 수"·메시지·토스트 "정확히 입력하세요"·setCancelable(false)·잘못 입력 시 재표시를 최신 원본과 같게. 컴파일·코드검증·원본비교 PASS</t>
        </is>
      </c>
      <c r="E24" s="5" t="inlineStr">
        <is>
          <t>WetDetailDialog.java</t>
        </is>
      </c>
      <c r="F24" s="4" t="inlineStr">
        <is>
          <t>개발 86 Step 1</t>
        </is>
      </c>
      <c r="G24" s="5" t="inlineStr">
        <is>
          <t>오류/44, 개발/86</t>
        </is>
      </c>
      <c r="H24" s="5" t="inlineStr">
        <is>
          <t>EDA51 미연결 — 실기기 확인은 Step 3</t>
        </is>
      </c>
    </row>
    <row r="25">
      <c r="A25" s="4" t="n">
        <v>22</v>
      </c>
      <c r="B25" s="6" t="n">
        <v>46317</v>
      </c>
      <c r="C25" s="4" t="inlineStr">
        <is>
          <t>C2</t>
        </is>
      </c>
      <c r="D25" s="5" t="inlineStr">
        <is>
          <t>최신 원본 동일화(개발 86 Step 2): SumLabel 인쇄 루프를 최신 원본 printSumLabel 구조로 교체 — 장마다 (현재장/장 수), 파렛트 마지막 장 "N박스 총 중량 :" (95,380) 37 + 중량 (360,355) 75. 개별 중량 32/95 유지, 총 중량은 폭 576 초과 시만 크기 축소(1234.5→69). 기존 "N번 총 중량"·x 왼쪽 이동 제거. 컴파일·코드검증·원본비교 PASS</t>
        </is>
      </c>
      <c r="E25" s="5" t="inlineStr">
        <is>
          <t>SumLabel.java</t>
        </is>
      </c>
      <c r="F25" s="4" t="inlineStr">
        <is>
          <t>개발 86 Step 2</t>
        </is>
      </c>
      <c r="G25" s="5" t="inlineStr">
        <is>
          <t>오류/44, 개발/86</t>
        </is>
      </c>
      <c r="H25" s="5" t="inlineStr">
        <is>
          <t>EDA51 미연결 — 실기기 확인은 Step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진행 현황</t>
        </is>
      </c>
    </row>
    <row r="3">
      <c r="A3" s="3" t="inlineStr">
        <is>
          <t>구분</t>
        </is>
      </c>
      <c r="B3" s="3" t="inlineStr">
        <is>
          <t>전체</t>
        </is>
      </c>
      <c r="C3" s="3" t="inlineStr">
        <is>
          <t>완료</t>
        </is>
      </c>
      <c r="D3" s="3" t="inlineStr">
        <is>
          <t>진행중</t>
        </is>
      </c>
      <c r="E3" s="3" t="inlineStr">
        <is>
          <t>대기</t>
        </is>
      </c>
      <c r="F3" s="3" t="inlineStr">
        <is>
          <t>보류</t>
        </is>
      </c>
    </row>
    <row r="4">
      <c r="A4" s="4" t="inlineStr">
        <is>
          <t>오류</t>
        </is>
      </c>
      <c r="B4" s="4">
        <f>COUNTIF(수정리스트!$B$5:$B$60,$A4)</f>
        <v/>
      </c>
      <c r="C4" s="4">
        <f>COUNTIFS(수정리스트!$B$5:$B$60,$A4,수정리스트!$E$5:$E$60,"완료")</f>
        <v/>
      </c>
      <c r="D4" s="4">
        <f>COUNTIFS(수정리스트!$B$5:$B$60,$A4,수정리스트!$E$5:$E$60,"진행중")</f>
        <v/>
      </c>
      <c r="E4" s="4">
        <f>COUNTIFS(수정리스트!$B$5:$B$60,$A4,수정리스트!$E$5:$E$60,"대기")</f>
        <v/>
      </c>
      <c r="F4" s="4">
        <f>COUNTIFS(수정리스트!$B$5:$B$60,$A4,수정리스트!$E$5:$E$60,"보류")</f>
        <v/>
      </c>
    </row>
    <row r="5">
      <c r="A5" s="4" t="inlineStr">
        <is>
          <t>조사</t>
        </is>
      </c>
      <c r="B5" s="4">
        <f>COUNTIF(수정리스트!$B$5:$B$60,$A5)</f>
        <v/>
      </c>
      <c r="C5" s="4">
        <f>COUNTIFS(수정리스트!$B$5:$B$60,$A5,수정리스트!$E$5:$E$60,"완료")</f>
        <v/>
      </c>
      <c r="D5" s="4">
        <f>COUNTIFS(수정리스트!$B$5:$B$60,$A5,수정리스트!$E$5:$E$60,"진행중")</f>
        <v/>
      </c>
      <c r="E5" s="4">
        <f>COUNTIFS(수정리스트!$B$5:$B$60,$A5,수정리스트!$E$5:$E$60,"대기")</f>
        <v/>
      </c>
      <c r="F5" s="4">
        <f>COUNTIFS(수정리스트!$B$5:$B$60,$A5,수정리스트!$E$5:$E$60,"보류")</f>
        <v/>
      </c>
    </row>
    <row r="6">
      <c r="A6" s="4" t="inlineStr">
        <is>
          <t>신규기능</t>
        </is>
      </c>
      <c r="B6" s="4">
        <f>COUNTIF(수정리스트!$B$5:$B$60,$A6)</f>
        <v/>
      </c>
      <c r="C6" s="4">
        <f>COUNTIFS(수정리스트!$B$5:$B$60,$A6,수정리스트!$E$5:$E$60,"완료")</f>
        <v/>
      </c>
      <c r="D6" s="4">
        <f>COUNTIFS(수정리스트!$B$5:$B$60,$A6,수정리스트!$E$5:$E$60,"진행중")</f>
        <v/>
      </c>
      <c r="E6" s="4">
        <f>COUNTIFS(수정리스트!$B$5:$B$60,$A6,수정리스트!$E$5:$E$60,"대기")</f>
        <v/>
      </c>
      <c r="F6" s="4">
        <f>COUNTIFS(수정리스트!$B$5:$B$60,$A6,수정리스트!$E$5:$E$60,"보류")</f>
        <v/>
      </c>
    </row>
    <row r="7">
      <c r="A7" s="4" t="inlineStr">
        <is>
          <t>정리</t>
        </is>
      </c>
      <c r="B7" s="4">
        <f>COUNTIF(수정리스트!$B$5:$B$60,$A7)</f>
        <v/>
      </c>
      <c r="C7" s="4">
        <f>COUNTIFS(수정리스트!$B$5:$B$60,$A7,수정리스트!$E$5:$E$60,"완료")</f>
        <v/>
      </c>
      <c r="D7" s="4">
        <f>COUNTIFS(수정리스트!$B$5:$B$60,$A7,수정리스트!$E$5:$E$60,"진행중")</f>
        <v/>
      </c>
      <c r="E7" s="4">
        <f>COUNTIFS(수정리스트!$B$5:$B$60,$A7,수정리스트!$E$5:$E$60,"대기")</f>
        <v/>
      </c>
      <c r="F7" s="4">
        <f>COUNTIFS(수정리스트!$B$5:$B$60,$A7,수정리스트!$E$5:$E$60,"보류")</f>
        <v/>
      </c>
    </row>
    <row r="8">
      <c r="A8" s="4" t="inlineStr">
        <is>
          <t>ERP</t>
        </is>
      </c>
      <c r="B8" s="4">
        <f>COUNTIF(수정리스트!$B$5:$B$60,$A8)</f>
        <v/>
      </c>
      <c r="C8" s="4">
        <f>COUNTIFS(수정리스트!$B$5:$B$60,$A8,수정리스트!$E$5:$E$60,"완료")</f>
        <v/>
      </c>
      <c r="D8" s="4">
        <f>COUNTIFS(수정리스트!$B$5:$B$60,$A8,수정리스트!$E$5:$E$60,"진행중")</f>
        <v/>
      </c>
      <c r="E8" s="4">
        <f>COUNTIFS(수정리스트!$B$5:$B$60,$A8,수정리스트!$E$5:$E$60,"대기")</f>
        <v/>
      </c>
      <c r="F8" s="4">
        <f>COUNTIFS(수정리스트!$B$5:$B$60,$A8,수정리스트!$E$5:$E$60,"보류")</f>
        <v/>
      </c>
    </row>
    <row r="9">
      <c r="A9" s="4" t="inlineStr">
        <is>
          <t>보류</t>
        </is>
      </c>
      <c r="B9" s="4">
        <f>COUNTIF(수정리스트!$B$5:$B$60,$A9)</f>
        <v/>
      </c>
      <c r="C9" s="4">
        <f>COUNTIFS(수정리스트!$B$5:$B$60,$A9,수정리스트!$E$5:$E$60,"완료")</f>
        <v/>
      </c>
      <c r="D9" s="4">
        <f>COUNTIFS(수정리스트!$B$5:$B$60,$A9,수정리스트!$E$5:$E$60,"진행중")</f>
        <v/>
      </c>
      <c r="E9" s="4">
        <f>COUNTIFS(수정리스트!$B$5:$B$60,$A9,수정리스트!$E$5:$E$60,"대기")</f>
        <v/>
      </c>
      <c r="F9" s="4">
        <f>COUNTIFS(수정리스트!$B$5:$B$60,$A9,수정리스트!$E$5:$E$60,"보류")</f>
        <v/>
      </c>
    </row>
    <row r="10">
      <c r="A10" s="7" t="inlineStr">
        <is>
          <t>합계</t>
        </is>
      </c>
      <c r="B10" s="7">
        <f>SUM(B4:B9)</f>
        <v/>
      </c>
      <c r="C10" s="7">
        <f>SUM(C4:C9)</f>
        <v/>
      </c>
      <c r="D10" s="7">
        <f>SUM(D4:D9)</f>
        <v/>
      </c>
      <c r="E10" s="7">
        <f>SUM(E4:E9)</f>
        <v/>
      </c>
      <c r="F10" s="7">
        <f>SUM(F4:F9)</f>
        <v/>
      </c>
    </row>
    <row r="12">
      <c r="A12" s="8" t="inlineStr">
        <is>
          <t>완료율</t>
        </is>
      </c>
      <c r="B12" s="9">
        <f>IF(B10=0,0,C10/B10)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2026-10-02T08:01:20Z</dcterms:created>
  <dcterms:modified xmlns:dcterms="http://purl.org/dc/terms/" xmlns:xsi="http://www.w3.org/2001/XMLSchema-instance" xsi:type="dcterms:W3CDTF">2026-10-22T01:04:22Z</dcterms:modified>
</cp:coreProperties>
</file>